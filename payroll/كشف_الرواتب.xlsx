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الإعدادات" sheetId="1" state="visible" r:id="rId1"/>
    <sheet name="كشف الرواتب" sheetId="2" state="visible" r:id="rId2"/>
  </sheets>
  <definedNames>
    <definedName name="_xlnm.Print_Titles" localSheetId="1">'كشف الرواتب'!$4:$4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ر.س&quot;;[Red](#,##0.00) &quot;ر.س&quot;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1"/>
    </font>
    <font>
      <name val="Arial"/>
      <color rgb="000000FF"/>
      <sz val="11"/>
    </font>
    <font>
      <name val="Arial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2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6E0B4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كشف الرواتب</author>
  </authors>
  <commentList>
    <comment ref="C4" authorId="0" shapeId="0">
      <text>
        <t>اكتب اسم الشهر — يظهر في عنوان الكشف</t>
      </text>
    </comment>
    <comment ref="C5" authorId="0" shapeId="0">
      <text>
        <t>عدد أيام الشهر الافتراضي لكل الموظفين</t>
      </text>
    </comment>
    <comment ref="C6" authorId="0" shapeId="0">
      <text>
        <t>قيمة الساعة = قيمة اليوم ÷ ساعات العمل اليومية</t>
      </text>
    </comment>
    <comment ref="C7" authorId="0" shapeId="0">
      <text>
        <t>الساعة تُخصم بساعتين — اجعلها 1 لإلغاء المضاعفة</t>
      </text>
    </comment>
    <comment ref="C8" authorId="0" shapeId="0">
      <text>
        <t>قيمة الساعة الإضافية = قيمة الساعة × هذا المعامل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rightToLeft="1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95" customWidth="1" min="5" max="5"/>
  </cols>
  <sheetData>
    <row r="2">
      <c r="B2" s="1" t="inlineStr">
        <is>
          <t>إعدادات احتساب الرواتب</t>
        </is>
      </c>
    </row>
    <row r="4">
      <c r="B4" s="2" t="inlineStr">
        <is>
          <t>الشهر / الفترة</t>
        </is>
      </c>
      <c r="C4" s="3" t="inlineStr">
        <is>
          <t>سبتمبر 2026</t>
        </is>
      </c>
      <c r="E4" s="1" t="inlineStr">
        <is>
          <t>قواعد الاحتساب المعتمدة</t>
        </is>
      </c>
    </row>
    <row r="5">
      <c r="B5" s="2" t="inlineStr">
        <is>
          <t>عدد أيام الشهر</t>
        </is>
      </c>
      <c r="C5" s="3" t="n">
        <v>31</v>
      </c>
      <c r="E5" s="4" t="inlineStr">
        <is>
          <t>١) إجمالي الراتب = الراتب الأساسي + المستحقات (البدلات).</t>
        </is>
      </c>
    </row>
    <row r="6">
      <c r="B6" s="2" t="inlineStr">
        <is>
          <t>ساعات العمل اليومية</t>
        </is>
      </c>
      <c r="C6" s="3" t="n">
        <v>8</v>
      </c>
      <c r="E6" s="4" t="inlineStr">
        <is>
          <t>٢) قيمة اليوم = إجمالي الراتب ÷ عدد أيام الشهر.   (الخصم على الإجمالي وليس الأساسي فقط)</t>
        </is>
      </c>
    </row>
    <row r="7">
      <c r="B7" s="2" t="inlineStr">
        <is>
          <t>معامل خصم التأخير</t>
        </is>
      </c>
      <c r="C7" s="3" t="n">
        <v>2</v>
      </c>
      <c r="E7" s="4" t="inlineStr">
        <is>
          <t>٣) أيام التغيب = أيام الشهر − أيام العمل.</t>
        </is>
      </c>
    </row>
    <row r="8">
      <c r="B8" s="2" t="inlineStr">
        <is>
          <t>معامل الساعات الإضافية</t>
        </is>
      </c>
      <c r="C8" s="3" t="n">
        <v>1</v>
      </c>
      <c r="E8" s="4" t="inlineStr">
        <is>
          <t>٤) أيام الإجازة الشهرية المستحقة إجازة مدفوعة ولا تُخصم.</t>
        </is>
      </c>
    </row>
    <row r="9">
      <c r="E9" s="4" t="inlineStr">
        <is>
          <t>٥) أيام الغياب المخصومة = أيام التغيب − أيام الإجازة المستحقة  (لا تقل عن صفر).</t>
        </is>
      </c>
    </row>
    <row r="10">
      <c r="E10" s="4" t="inlineStr">
        <is>
          <t>٦) خصم الغياب = قيمة اليوم × أيام الغياب المخصومة.</t>
        </is>
      </c>
    </row>
    <row r="11">
      <c r="E11" s="4" t="inlineStr">
        <is>
          <t>٧) قيمة الساعة = قيمة اليوم ÷ ساعات العمل اليومية.</t>
        </is>
      </c>
    </row>
    <row r="12">
      <c r="E12" s="4" t="inlineStr">
        <is>
          <t>٨) خصم التأخير = قيمة الساعة × (دقائق التأخير ÷ ٦٠) × معامل خصم التأخير (٢) — أي الساعة بساعتين.</t>
        </is>
      </c>
    </row>
    <row r="13">
      <c r="E13" s="4" t="inlineStr">
        <is>
          <t>٩) قيمة الساعات الإضافية = قيمة الساعة × عدد الساعات الإضافية × معامل الساعات الإضافية.</t>
        </is>
      </c>
    </row>
    <row r="14">
      <c r="E14" s="4" t="inlineStr">
        <is>
          <t>١٠) صافي الراتب = إجمالي الراتب + قيمة الساعات الإضافية − (خصم الغياب + خصم التأخير + السلف والخصومات).</t>
        </is>
      </c>
    </row>
    <row r="17">
      <c r="E17" s="5" t="inlineStr">
        <is>
          <t>دليل الألوان</t>
        </is>
      </c>
    </row>
    <row r="18">
      <c r="E18" s="6" t="inlineStr">
        <is>
          <t>خلفية صفراء + خط أزرق = خلايا الإدخال (اكتب فيها)</t>
        </is>
      </c>
    </row>
    <row r="19">
      <c r="E19" s="7" t="inlineStr">
        <is>
          <t>خلفية خضراء = عمود أيام الإجازة الشهرية المستحقة (إدخال)</t>
        </is>
      </c>
    </row>
    <row r="20">
      <c r="E20" s="8" t="inlineStr">
        <is>
          <t>خط أسود بدون خلفية = معادلة تُحسب تلقائياً (لا تكتب فيها)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V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0" customWidth="1" min="4" max="4"/>
    <col width="9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3" customWidth="1" min="18" max="18"/>
    <col width="13" customWidth="1" min="19" max="19"/>
    <col width="13" customWidth="1" min="20" max="20"/>
    <col width="13" customWidth="1" min="21" max="21"/>
    <col width="24" customWidth="1" min="22" max="22"/>
  </cols>
  <sheetData>
    <row r="1" ht="28" customHeight="1">
      <c r="A1" s="9" t="inlineStr">
        <is>
          <t>كشف رواتب الموظفين</t>
        </is>
      </c>
    </row>
    <row r="2">
      <c r="A2" s="10" t="str">
        <f>" الشهر: " &amp; الإعدادات!C4</f>
        <v> الشهر: سبتمبر 2026</v>
      </c>
    </row>
    <row r="4" ht="46" customHeight="1">
      <c r="A4" s="11" t="inlineStr">
        <is>
          <t>عدد</t>
        </is>
      </c>
      <c r="B4" s="11" t="inlineStr">
        <is>
          <t>الوظيفة</t>
        </is>
      </c>
      <c r="C4" s="11" t="inlineStr">
        <is>
          <t>اسم الموظف</t>
        </is>
      </c>
      <c r="D4" s="11" t="inlineStr">
        <is>
          <t>عدد أيام الشهر</t>
        </is>
      </c>
      <c r="E4" s="11" t="inlineStr">
        <is>
          <t>أيام العمل</t>
        </is>
      </c>
      <c r="F4" s="11" t="inlineStr">
        <is>
          <t>أيام الإجازة الشهرية</t>
        </is>
      </c>
      <c r="G4" s="11" t="inlineStr">
        <is>
          <t>أيام التغيب</t>
        </is>
      </c>
      <c r="H4" s="11" t="inlineStr">
        <is>
          <t>أيام الغياب المخصومة</t>
        </is>
      </c>
      <c r="I4" s="11" t="inlineStr">
        <is>
          <t>دقائق التأخير</t>
        </is>
      </c>
      <c r="J4" s="11" t="inlineStr">
        <is>
          <t>الساعات الإضافية</t>
        </is>
      </c>
      <c r="K4" s="11" t="inlineStr">
        <is>
          <t>الراتب الأساسي</t>
        </is>
      </c>
      <c r="L4" s="11" t="inlineStr">
        <is>
          <t>المستحقات (بدلات)</t>
        </is>
      </c>
      <c r="M4" s="11" t="inlineStr">
        <is>
          <t>إجمالي الراتب</t>
        </is>
      </c>
      <c r="N4" s="11" t="inlineStr">
        <is>
          <t>قيمة اليوم</t>
        </is>
      </c>
      <c r="O4" s="11" t="inlineStr">
        <is>
          <t>قيمة الساعة</t>
        </is>
      </c>
      <c r="P4" s="11" t="inlineStr">
        <is>
          <t>خصم الغياب</t>
        </is>
      </c>
      <c r="Q4" s="11" t="inlineStr">
        <is>
          <t>خصم التأخير</t>
        </is>
      </c>
      <c r="R4" s="11" t="inlineStr">
        <is>
          <t>قيمة الساعات الإضافية</t>
        </is>
      </c>
      <c r="S4" s="11" t="inlineStr">
        <is>
          <t>سلف وخصومات أخرى</t>
        </is>
      </c>
      <c r="T4" s="11" t="inlineStr">
        <is>
          <t>إجمالي الخصومات</t>
        </is>
      </c>
      <c r="U4" s="11" t="inlineStr">
        <is>
          <t>صافي الراتب</t>
        </is>
      </c>
      <c r="V4" s="11" t="inlineStr">
        <is>
          <t>ملاحظات</t>
        </is>
      </c>
    </row>
    <row r="5">
      <c r="A5" s="12" t="n">
        <v>1</v>
      </c>
      <c r="B5" s="13" t="inlineStr">
        <is>
          <t>بارستا</t>
        </is>
      </c>
      <c r="C5" s="13" t="inlineStr">
        <is>
          <t>جوني</t>
        </is>
      </c>
      <c r="D5" s="12">
        <f>الإعدادات!$C$5</f>
        <v>31</v>
      </c>
      <c r="E5" s="3" t="n">
        <v>31</v>
      </c>
      <c r="F5" s="14" t="n">
        <v>0</v>
      </c>
      <c r="G5" s="12">
        <f>IF($C5="","",$D5-$E5)</f>
        <v>0</v>
      </c>
      <c r="H5" s="12">
        <f>IF($C5="","",MAX(0,$G5-$F5))</f>
        <v>0</v>
      </c>
      <c r="I5" s="3" t="n">
        <v>0</v>
      </c>
      <c r="J5" s="3" t="n">
        <v>0</v>
      </c>
      <c r="K5" s="15" t="n">
        <v>800</v>
      </c>
      <c r="L5" s="15" t="n">
        <v>700</v>
      </c>
      <c r="M5" s="16">
        <f>IF($C5="","",$K5+$L5)</f>
        <v>1500</v>
      </c>
      <c r="N5" s="16">
        <f>IF($C5="","",ROUND($M5/$D5,2))</f>
        <v>48.39</v>
      </c>
      <c r="O5" s="16">
        <f>IF($C5="","",ROUND($N5/الإعدادات!$C$6,2))</f>
        <v>6.05</v>
      </c>
      <c r="P5" s="16">
        <f>IF($C5="","",ROUND($M5/$D5*$H5,2))</f>
        <v>0.0</v>
      </c>
      <c r="Q5" s="16">
        <f>IF($C5="","",ROUND($M5/$D5/الإعدادات!$C$6*($I5/60)*الإعدادات!$C$7,2))</f>
        <v>0.0</v>
      </c>
      <c r="R5" s="16">
        <f>IF($C5="","",ROUND($M5/$D5/الإعدادات!$C$6*$J5*الإعدادات!$C$8,2))</f>
        <v>0.0</v>
      </c>
      <c r="S5" s="15" t="n">
        <v>50</v>
      </c>
      <c r="T5" s="16">
        <f>IF($C5="","",$P5+$Q5+$S5)</f>
        <v>50.0</v>
      </c>
      <c r="U5" s="17">
        <f>IF($C5="","",$M5+$R5-$T5)</f>
        <v>1450.0</v>
      </c>
      <c r="V5" s="18" t="inlineStr">
        <is>
          <t>سلفة</t>
        </is>
      </c>
    </row>
    <row r="6">
      <c r="A6" s="12" t="n">
        <v>2</v>
      </c>
      <c r="B6" s="13" t="inlineStr">
        <is>
          <t>جمر</t>
        </is>
      </c>
      <c r="C6" s="13" t="inlineStr">
        <is>
          <t>طاهر</t>
        </is>
      </c>
      <c r="D6" s="12">
        <f>الإعدادات!$C$5</f>
        <v>31</v>
      </c>
      <c r="E6" s="3" t="n">
        <v>30</v>
      </c>
      <c r="F6" s="14" t="n">
        <v>0</v>
      </c>
      <c r="G6" s="12">
        <f>IF($C6="","",$D6-$E6)</f>
        <v>1</v>
      </c>
      <c r="H6" s="12">
        <f>IF($C6="","",MAX(0,$G6-$F6))</f>
        <v>1</v>
      </c>
      <c r="I6" s="3" t="n">
        <v>0</v>
      </c>
      <c r="J6" s="3" t="n">
        <v>0</v>
      </c>
      <c r="K6" s="15" t="n">
        <v>800</v>
      </c>
      <c r="L6" s="15" t="n">
        <v>700</v>
      </c>
      <c r="M6" s="16">
        <f>IF($C6="","",$K6+$L6)</f>
        <v>1500</v>
      </c>
      <c r="N6" s="16">
        <f>IF($C6="","",ROUND($M6/$D6,2))</f>
        <v>48.39</v>
      </c>
      <c r="O6" s="16">
        <f>IF($C6="","",ROUND($N6/الإعدادات!$C$6,2))</f>
        <v>6.05</v>
      </c>
      <c r="P6" s="16">
        <f>IF($C6="","",ROUND($M6/$D6*$H6,2))</f>
        <v>48.39</v>
      </c>
      <c r="Q6" s="16">
        <f>IF($C6="","",ROUND($M6/$D6/الإعدادات!$C$6*($I6/60)*الإعدادات!$C$7,2))</f>
        <v>0.0</v>
      </c>
      <c r="R6" s="16">
        <f>IF($C6="","",ROUND($M6/$D6/الإعدادات!$C$6*$J6*الإعدادات!$C$8,2))</f>
        <v>0.0</v>
      </c>
      <c r="S6" s="15" t="n">
        <v>0</v>
      </c>
      <c r="T6" s="16">
        <f>IF($C6="","",$P6+$Q6+$S6)</f>
        <v>48.39</v>
      </c>
      <c r="U6" s="17">
        <f>IF($C6="","",$M6+$R6-$T6)</f>
        <v>1451.61</v>
      </c>
      <c r="V6" s="18" t="inlineStr">
        <is>
          <t>تغيب يوم واحد</t>
        </is>
      </c>
    </row>
    <row r="7">
      <c r="A7" s="12" t="n">
        <v>3</v>
      </c>
      <c r="B7" s="13" t="inlineStr">
        <is>
          <t>جمر</t>
        </is>
      </c>
      <c r="C7" s="13" t="inlineStr">
        <is>
          <t>عبدالرحمن</t>
        </is>
      </c>
      <c r="D7" s="12">
        <f>الإعدادات!$C$5</f>
        <v>31</v>
      </c>
      <c r="E7" s="3" t="n">
        <v>31</v>
      </c>
      <c r="F7" s="14" t="n">
        <v>0</v>
      </c>
      <c r="G7" s="12">
        <f>IF($C7="","",$D7-$E7)</f>
        <v>0</v>
      </c>
      <c r="H7" s="12">
        <f>IF($C7="","",MAX(0,$G7-$F7))</f>
        <v>0</v>
      </c>
      <c r="I7" s="3" t="n">
        <v>0</v>
      </c>
      <c r="J7" s="3" t="n">
        <v>0</v>
      </c>
      <c r="K7" s="15" t="n">
        <v>800</v>
      </c>
      <c r="L7" s="15" t="n">
        <v>700</v>
      </c>
      <c r="M7" s="16">
        <f>IF($C7="","",$K7+$L7)</f>
        <v>1500</v>
      </c>
      <c r="N7" s="16">
        <f>IF($C7="","",ROUND($M7/$D7,2))</f>
        <v>48.39</v>
      </c>
      <c r="O7" s="16">
        <f>IF($C7="","",ROUND($N7/الإعدادات!$C$6,2))</f>
        <v>6.05</v>
      </c>
      <c r="P7" s="16">
        <f>IF($C7="","",ROUND($M7/$D7*$H7,2))</f>
        <v>0.0</v>
      </c>
      <c r="Q7" s="16">
        <f>IF($C7="","",ROUND($M7/$D7/الإعدادات!$C$6*($I7/60)*الإعدادات!$C$7,2))</f>
        <v>0.0</v>
      </c>
      <c r="R7" s="16">
        <f>IF($C7="","",ROUND($M7/$D7/الإعدادات!$C$6*$J7*الإعدادات!$C$8,2))</f>
        <v>0.0</v>
      </c>
      <c r="S7" s="15" t="n">
        <v>0</v>
      </c>
      <c r="T7" s="16">
        <f>IF($C7="","",$P7+$Q7+$S7)</f>
        <v>0.0</v>
      </c>
      <c r="U7" s="17">
        <f>IF($C7="","",$M7+$R7-$T7)</f>
        <v>1500.0</v>
      </c>
      <c r="V7" s="18" t="inlineStr"/>
    </row>
    <row r="8">
      <c r="A8" s="12" t="n">
        <v>4</v>
      </c>
      <c r="B8" s="13" t="inlineStr">
        <is>
          <t>نادل</t>
        </is>
      </c>
      <c r="C8" s="13" t="inlineStr">
        <is>
          <t>هاني</t>
        </is>
      </c>
      <c r="D8" s="12">
        <f>الإعدادات!$C$5</f>
        <v>31</v>
      </c>
      <c r="E8" s="3" t="n">
        <v>31</v>
      </c>
      <c r="F8" s="14" t="n">
        <v>0</v>
      </c>
      <c r="G8" s="12">
        <f>IF($C8="","",$D8-$E8)</f>
        <v>0</v>
      </c>
      <c r="H8" s="12">
        <f>IF($C8="","",MAX(0,$G8-$F8))</f>
        <v>0</v>
      </c>
      <c r="I8" s="3" t="n">
        <v>0</v>
      </c>
      <c r="J8" s="3" t="n">
        <v>0</v>
      </c>
      <c r="K8" s="15" t="n">
        <v>1000</v>
      </c>
      <c r="L8" s="15" t="n">
        <v>1000</v>
      </c>
      <c r="M8" s="16">
        <f>IF($C8="","",$K8+$L8)</f>
        <v>2000</v>
      </c>
      <c r="N8" s="16">
        <f>IF($C8="","",ROUND($M8/$D8,2))</f>
        <v>64.52</v>
      </c>
      <c r="O8" s="16">
        <f>IF($C8="","",ROUND($N8/الإعدادات!$C$6,2))</f>
        <v>8.06</v>
      </c>
      <c r="P8" s="16">
        <f>IF($C8="","",ROUND($M8/$D8*$H8,2))</f>
        <v>0.0</v>
      </c>
      <c r="Q8" s="16">
        <f>IF($C8="","",ROUND($M8/$D8/الإعدادات!$C$6*($I8/60)*الإعدادات!$C$7,2))</f>
        <v>0.0</v>
      </c>
      <c r="R8" s="16">
        <f>IF($C8="","",ROUND($M8/$D8/الإعدادات!$C$6*$J8*الإعدادات!$C$8,2))</f>
        <v>0.0</v>
      </c>
      <c r="S8" s="15" t="n">
        <v>30</v>
      </c>
      <c r="T8" s="16">
        <f>IF($C8="","",$P8+$Q8+$S8)</f>
        <v>30.0</v>
      </c>
      <c r="U8" s="17">
        <f>IF($C8="","",$M8+$R8-$T8)</f>
        <v>1970.0</v>
      </c>
      <c r="V8" s="18" t="inlineStr">
        <is>
          <t>خصم تاكسي</t>
        </is>
      </c>
    </row>
    <row r="9">
      <c r="A9" s="12" t="n">
        <v>5</v>
      </c>
      <c r="B9" s="13" t="inlineStr">
        <is>
          <t>نادل</t>
        </is>
      </c>
      <c r="C9" s="13" t="inlineStr">
        <is>
          <t>راسيل</t>
        </is>
      </c>
      <c r="D9" s="12">
        <f>الإعدادات!$C$5</f>
        <v>31</v>
      </c>
      <c r="E9" s="3" t="n">
        <v>31</v>
      </c>
      <c r="F9" s="14" t="n">
        <v>0</v>
      </c>
      <c r="G9" s="12">
        <f>IF($C9="","",$D9-$E9)</f>
        <v>0</v>
      </c>
      <c r="H9" s="12">
        <f>IF($C9="","",MAX(0,$G9-$F9))</f>
        <v>0</v>
      </c>
      <c r="I9" s="3" t="n">
        <v>0</v>
      </c>
      <c r="J9" s="3" t="n">
        <v>0</v>
      </c>
      <c r="K9" s="15" t="n">
        <v>800</v>
      </c>
      <c r="L9" s="15" t="n">
        <v>900</v>
      </c>
      <c r="M9" s="16">
        <f>IF($C9="","",$K9+$L9)</f>
        <v>1700</v>
      </c>
      <c r="N9" s="16">
        <f>IF($C9="","",ROUND($M9/$D9,2))</f>
        <v>54.84</v>
      </c>
      <c r="O9" s="16">
        <f>IF($C9="","",ROUND($N9/الإعدادات!$C$6,2))</f>
        <v>6.86</v>
      </c>
      <c r="P9" s="16">
        <f>IF($C9="","",ROUND($M9/$D9*$H9,2))</f>
        <v>0.0</v>
      </c>
      <c r="Q9" s="16">
        <f>IF($C9="","",ROUND($M9/$D9/الإعدادات!$C$6*($I9/60)*الإعدادات!$C$7,2))</f>
        <v>0.0</v>
      </c>
      <c r="R9" s="16">
        <f>IF($C9="","",ROUND($M9/$D9/الإعدادات!$C$6*$J9*الإعدادات!$C$8,2))</f>
        <v>0.0</v>
      </c>
      <c r="S9" s="15" t="n">
        <v>400</v>
      </c>
      <c r="T9" s="16">
        <f>IF($C9="","",$P9+$Q9+$S9)</f>
        <v>400.0</v>
      </c>
      <c r="U9" s="17">
        <f>IF($C9="","",$M9+$R9-$T9)</f>
        <v>1300.0</v>
      </c>
      <c r="V9" s="18" t="inlineStr">
        <is>
          <t>سلفة</t>
        </is>
      </c>
    </row>
    <row r="10">
      <c r="A10" s="12" t="n">
        <v>7</v>
      </c>
      <c r="B10" s="13" t="inlineStr">
        <is>
          <t>جمر</t>
        </is>
      </c>
      <c r="C10" s="13" t="inlineStr">
        <is>
          <t>فيصل</t>
        </is>
      </c>
      <c r="D10" s="12">
        <f>الإعدادات!$C$5</f>
        <v>31</v>
      </c>
      <c r="E10" s="3" t="n">
        <v>31</v>
      </c>
      <c r="F10" s="14" t="n">
        <v>0</v>
      </c>
      <c r="G10" s="12">
        <f>IF($C10="","",$D10-$E10)</f>
        <v>0</v>
      </c>
      <c r="H10" s="12">
        <f>IF($C10="","",MAX(0,$G10-$F10))</f>
        <v>0</v>
      </c>
      <c r="I10" s="3" t="n">
        <v>0</v>
      </c>
      <c r="J10" s="3" t="n">
        <v>0</v>
      </c>
      <c r="K10" s="15" t="n">
        <v>800</v>
      </c>
      <c r="L10" s="15" t="n">
        <v>700</v>
      </c>
      <c r="M10" s="16">
        <f>IF($C10="","",$K10+$L10)</f>
        <v>1500</v>
      </c>
      <c r="N10" s="16">
        <f>IF($C10="","",ROUND($M10/$D10,2))</f>
        <v>48.39</v>
      </c>
      <c r="O10" s="16">
        <f>IF($C10="","",ROUND($N10/الإعدادات!$C$6,2))</f>
        <v>6.05</v>
      </c>
      <c r="P10" s="16">
        <f>IF($C10="","",ROUND($M10/$D10*$H10,2))</f>
        <v>0.0</v>
      </c>
      <c r="Q10" s="16">
        <f>IF($C10="","",ROUND($M10/$D10/الإعدادات!$C$6*($I10/60)*الإعدادات!$C$7,2))</f>
        <v>0.0</v>
      </c>
      <c r="R10" s="16">
        <f>IF($C10="","",ROUND($M10/$D10/الإعدادات!$C$6*$J10*الإعدادات!$C$8,2))</f>
        <v>0.0</v>
      </c>
      <c r="S10" s="15" t="n">
        <v>300</v>
      </c>
      <c r="T10" s="16">
        <f>IF($C10="","",$P10+$Q10+$S10)</f>
        <v>300.0</v>
      </c>
      <c r="U10" s="17">
        <f>IF($C10="","",$M10+$R10-$T10)</f>
        <v>1200.0</v>
      </c>
      <c r="V10" s="18" t="inlineStr">
        <is>
          <t>سلفة</t>
        </is>
      </c>
    </row>
    <row r="11">
      <c r="A11" s="12" t="n">
        <v>8</v>
      </c>
      <c r="B11" s="13" t="inlineStr">
        <is>
          <t>معسل</t>
        </is>
      </c>
      <c r="C11" s="13" t="inlineStr">
        <is>
          <t>سهيل</t>
        </is>
      </c>
      <c r="D11" s="12">
        <f>الإعدادات!$C$5</f>
        <v>31</v>
      </c>
      <c r="E11" s="3" t="n">
        <v>31</v>
      </c>
      <c r="F11" s="14" t="n">
        <v>0</v>
      </c>
      <c r="G11" s="12">
        <f>IF($C11="","",$D11-$E11)</f>
        <v>0</v>
      </c>
      <c r="H11" s="12">
        <f>IF($C11="","",MAX(0,$G11-$F11))</f>
        <v>0</v>
      </c>
      <c r="I11" s="3" t="n">
        <v>90</v>
      </c>
      <c r="J11" s="3" t="n">
        <v>0</v>
      </c>
      <c r="K11" s="15" t="n">
        <v>800</v>
      </c>
      <c r="L11" s="15" t="n">
        <v>1450</v>
      </c>
      <c r="M11" s="16">
        <f>IF($C11="","",$K11+$L11)</f>
        <v>2250</v>
      </c>
      <c r="N11" s="16">
        <f>IF($C11="","",ROUND($M11/$D11,2))</f>
        <v>72.58</v>
      </c>
      <c r="O11" s="16">
        <f>IF($C11="","",ROUND($N11/الإعدادات!$C$6,2))</f>
        <v>9.07</v>
      </c>
      <c r="P11" s="16">
        <f>IF($C11="","",ROUND($M11/$D11*$H11,2))</f>
        <v>0.0</v>
      </c>
      <c r="Q11" s="16">
        <f>IF($C11="","",ROUND($M11/$D11/الإعدادات!$C$6*($I11/60)*الإعدادات!$C$7,2))</f>
        <v>27.22</v>
      </c>
      <c r="R11" s="16">
        <f>IF($C11="","",ROUND($M11/$D11/الإعدادات!$C$6*$J11*الإعدادات!$C$8,2))</f>
        <v>0.0</v>
      </c>
      <c r="S11" s="15" t="n">
        <v>0</v>
      </c>
      <c r="T11" s="16">
        <f>IF($C11="","",$P11+$Q11+$S11)</f>
        <v>27.22</v>
      </c>
      <c r="U11" s="17">
        <f>IF($C11="","",$M11+$R11-$T11)</f>
        <v>2222.78</v>
      </c>
      <c r="V11" s="18" t="inlineStr">
        <is>
          <t>تأخير 90 دقيقة</t>
        </is>
      </c>
    </row>
    <row r="12">
      <c r="A12" s="12" t="n">
        <v>9</v>
      </c>
      <c r="B12" s="13" t="inlineStr">
        <is>
          <t>بارستا</t>
        </is>
      </c>
      <c r="C12" s="13" t="inlineStr">
        <is>
          <t>عارف</t>
        </is>
      </c>
      <c r="D12" s="12">
        <f>الإعدادات!$C$5</f>
        <v>31</v>
      </c>
      <c r="E12" s="3" t="n">
        <v>31</v>
      </c>
      <c r="F12" s="14" t="n">
        <v>0</v>
      </c>
      <c r="G12" s="12">
        <f>IF($C12="","",$D12-$E12)</f>
        <v>0</v>
      </c>
      <c r="H12" s="12">
        <f>IF($C12="","",MAX(0,$G12-$F12))</f>
        <v>0</v>
      </c>
      <c r="I12" s="3" t="n">
        <v>0</v>
      </c>
      <c r="J12" s="3" t="n">
        <v>0</v>
      </c>
      <c r="K12" s="15" t="n">
        <v>800</v>
      </c>
      <c r="L12" s="15" t="n">
        <v>900</v>
      </c>
      <c r="M12" s="16">
        <f>IF($C12="","",$K12+$L12)</f>
        <v>1700</v>
      </c>
      <c r="N12" s="16">
        <f>IF($C12="","",ROUND($M12/$D12,2))</f>
        <v>54.84</v>
      </c>
      <c r="O12" s="16">
        <f>IF($C12="","",ROUND($N12/الإعدادات!$C$6,2))</f>
        <v>6.86</v>
      </c>
      <c r="P12" s="16">
        <f>IF($C12="","",ROUND($M12/$D12*$H12,2))</f>
        <v>0.0</v>
      </c>
      <c r="Q12" s="16">
        <f>IF($C12="","",ROUND($M12/$D12/الإعدادات!$C$6*($I12/60)*الإعدادات!$C$7,2))</f>
        <v>0.0</v>
      </c>
      <c r="R12" s="16">
        <f>IF($C12="","",ROUND($M12/$D12/الإعدادات!$C$6*$J12*الإعدادات!$C$8,2))</f>
        <v>0.0</v>
      </c>
      <c r="S12" s="15" t="n">
        <v>0</v>
      </c>
      <c r="T12" s="16">
        <f>IF($C12="","",$P12+$Q12+$S12)</f>
        <v>0.0</v>
      </c>
      <c r="U12" s="17">
        <f>IF($C12="","",$M12+$R12-$T12)</f>
        <v>1700.0</v>
      </c>
      <c r="V12" s="18" t="inlineStr"/>
    </row>
    <row r="13">
      <c r="A13" s="12" t="n">
        <v>10</v>
      </c>
      <c r="B13" s="13" t="inlineStr">
        <is>
          <t>معسل</t>
        </is>
      </c>
      <c r="C13" s="13" t="inlineStr">
        <is>
          <t>نبيل</t>
        </is>
      </c>
      <c r="D13" s="12">
        <f>الإعدادات!$C$5</f>
        <v>31</v>
      </c>
      <c r="E13" s="3" t="n">
        <v>31</v>
      </c>
      <c r="F13" s="14" t="n">
        <v>0</v>
      </c>
      <c r="G13" s="12">
        <f>IF($C13="","",$D13-$E13)</f>
        <v>0</v>
      </c>
      <c r="H13" s="12">
        <f>IF($C13="","",MAX(0,$G13-$F13))</f>
        <v>0</v>
      </c>
      <c r="I13" s="3" t="n">
        <v>0</v>
      </c>
      <c r="J13" s="3" t="n">
        <v>0</v>
      </c>
      <c r="K13" s="15" t="n">
        <v>800</v>
      </c>
      <c r="L13" s="15" t="n">
        <v>700</v>
      </c>
      <c r="M13" s="16">
        <f>IF($C13="","",$K13+$L13)</f>
        <v>1500</v>
      </c>
      <c r="N13" s="16">
        <f>IF($C13="","",ROUND($M13/$D13,2))</f>
        <v>48.39</v>
      </c>
      <c r="O13" s="16">
        <f>IF($C13="","",ROUND($N13/الإعدادات!$C$6,2))</f>
        <v>6.05</v>
      </c>
      <c r="P13" s="16">
        <f>IF($C13="","",ROUND($M13/$D13*$H13,2))</f>
        <v>0.0</v>
      </c>
      <c r="Q13" s="16">
        <f>IF($C13="","",ROUND($M13/$D13/الإعدادات!$C$6*($I13/60)*الإعدادات!$C$7,2))</f>
        <v>0.0</v>
      </c>
      <c r="R13" s="16">
        <f>IF($C13="","",ROUND($M13/$D13/الإعدادات!$C$6*$J13*الإعدادات!$C$8,2))</f>
        <v>0.0</v>
      </c>
      <c r="S13" s="15" t="n">
        <v>0</v>
      </c>
      <c r="T13" s="16">
        <f>IF($C13="","",$P13+$Q13+$S13)</f>
        <v>0.0</v>
      </c>
      <c r="U13" s="17">
        <f>IF($C13="","",$M13+$R13-$T13)</f>
        <v>1500.0</v>
      </c>
      <c r="V13" s="18" t="inlineStr"/>
    </row>
    <row r="14">
      <c r="A14" s="12" t="n">
        <v>11</v>
      </c>
      <c r="B14" s="13" t="inlineStr">
        <is>
          <t>استقبال</t>
        </is>
      </c>
      <c r="C14" s="13" t="inlineStr">
        <is>
          <t>سهام شامي</t>
        </is>
      </c>
      <c r="D14" s="12">
        <f>الإعدادات!$C$5</f>
        <v>31</v>
      </c>
      <c r="E14" s="3" t="n">
        <v>27</v>
      </c>
      <c r="F14" s="14" t="n">
        <v>0</v>
      </c>
      <c r="G14" s="12">
        <f>IF($C14="","",$D14-$E14)</f>
        <v>4</v>
      </c>
      <c r="H14" s="12">
        <f>IF($C14="","",MAX(0,$G14-$F14))</f>
        <v>4</v>
      </c>
      <c r="I14" s="3" t="n">
        <v>0</v>
      </c>
      <c r="J14" s="3" t="n">
        <v>0</v>
      </c>
      <c r="K14" s="15" t="n">
        <v>2000</v>
      </c>
      <c r="L14" s="15" t="n">
        <v>2000</v>
      </c>
      <c r="M14" s="16">
        <f>IF($C14="","",$K14+$L14)</f>
        <v>4000</v>
      </c>
      <c r="N14" s="16">
        <f>IF($C14="","",ROUND($M14/$D14,2))</f>
        <v>129.03</v>
      </c>
      <c r="O14" s="16">
        <f>IF($C14="","",ROUND($N14/الإعدادات!$C$6,2))</f>
        <v>16.13</v>
      </c>
      <c r="P14" s="16">
        <f>IF($C14="","",ROUND($M14/$D14*$H14,2))</f>
        <v>516.13</v>
      </c>
      <c r="Q14" s="16">
        <f>IF($C14="","",ROUND($M14/$D14/الإعدادات!$C$6*($I14/60)*الإعدادات!$C$7,2))</f>
        <v>0.0</v>
      </c>
      <c r="R14" s="16">
        <f>IF($C14="","",ROUND($M14/$D14/الإعدادات!$C$6*$J14*الإعدادات!$C$8,2))</f>
        <v>0.0</v>
      </c>
      <c r="S14" s="15" t="n">
        <v>700</v>
      </c>
      <c r="T14" s="16">
        <f>IF($C14="","",$P14+$Q14+$S14)</f>
        <v>1216.13</v>
      </c>
      <c r="U14" s="17">
        <f>IF($C14="","",$M14+$R14-$T14)</f>
        <v>2783.87</v>
      </c>
      <c r="V14" s="18" t="inlineStr">
        <is>
          <t>سلفة 700 + تغيب 4 أيام</t>
        </is>
      </c>
    </row>
    <row r="15">
      <c r="A15" s="12" t="n">
        <v>12</v>
      </c>
      <c r="B15" s="13" t="inlineStr">
        <is>
          <t>رنر</t>
        </is>
      </c>
      <c r="C15" s="13" t="inlineStr">
        <is>
          <t>ايكا</t>
        </is>
      </c>
      <c r="D15" s="12">
        <f>الإعدادات!$C$5</f>
        <v>31</v>
      </c>
      <c r="E15" s="3" t="n">
        <v>26</v>
      </c>
      <c r="F15" s="14" t="n">
        <v>0</v>
      </c>
      <c r="G15" s="12">
        <f>IF($C15="","",$D15-$E15)</f>
        <v>5</v>
      </c>
      <c r="H15" s="12">
        <f>IF($C15="","",MAX(0,$G15-$F15))</f>
        <v>5</v>
      </c>
      <c r="I15" s="3" t="n">
        <v>0</v>
      </c>
      <c r="J15" s="3" t="n">
        <v>0</v>
      </c>
      <c r="K15" s="15" t="n">
        <v>500</v>
      </c>
      <c r="L15" s="15" t="n">
        <v>1500</v>
      </c>
      <c r="M15" s="16">
        <f>IF($C15="","",$K15+$L15)</f>
        <v>2000</v>
      </c>
      <c r="N15" s="16">
        <f>IF($C15="","",ROUND($M15/$D15,2))</f>
        <v>64.52</v>
      </c>
      <c r="O15" s="16">
        <f>IF($C15="","",ROUND($N15/الإعدادات!$C$6,2))</f>
        <v>8.06</v>
      </c>
      <c r="P15" s="16">
        <f>IF($C15="","",ROUND($M15/$D15*$H15,2))</f>
        <v>322.58</v>
      </c>
      <c r="Q15" s="16">
        <f>IF($C15="","",ROUND($M15/$D15/الإعدادات!$C$6*($I15/60)*الإعدادات!$C$7,2))</f>
        <v>0.0</v>
      </c>
      <c r="R15" s="16">
        <f>IF($C15="","",ROUND($M15/$D15/الإعدادات!$C$6*$J15*الإعدادات!$C$8,2))</f>
        <v>0.0</v>
      </c>
      <c r="S15" s="15" t="n">
        <v>34</v>
      </c>
      <c r="T15" s="16">
        <f>IF($C15="","",$P15+$Q15+$S15)</f>
        <v>356.58</v>
      </c>
      <c r="U15" s="17">
        <f>IF($C15="","",$M15+$R15-$T15)</f>
        <v>1643.42</v>
      </c>
      <c r="V15" s="18" t="inlineStr">
        <is>
          <t>سلفة 34 + تغيب 5 أيام</t>
        </is>
      </c>
    </row>
    <row r="16">
      <c r="A16" s="12" t="n">
        <v>13</v>
      </c>
      <c r="B16" s="13" t="inlineStr">
        <is>
          <t>نضافة</t>
        </is>
      </c>
      <c r="C16" s="13" t="inlineStr">
        <is>
          <t>نور</t>
        </is>
      </c>
      <c r="D16" s="12">
        <f>الإعدادات!$C$5</f>
        <v>31</v>
      </c>
      <c r="E16" s="3" t="n">
        <v>31</v>
      </c>
      <c r="F16" s="14" t="n">
        <v>0</v>
      </c>
      <c r="G16" s="12">
        <f>IF($C16="","",$D16-$E16)</f>
        <v>0</v>
      </c>
      <c r="H16" s="12">
        <f>IF($C16="","",MAX(0,$G16-$F16))</f>
        <v>0</v>
      </c>
      <c r="I16" s="3" t="n">
        <v>0</v>
      </c>
      <c r="J16" s="3" t="n">
        <v>0</v>
      </c>
      <c r="K16" s="15" t="n">
        <v>500</v>
      </c>
      <c r="L16" s="15" t="n">
        <v>1500</v>
      </c>
      <c r="M16" s="16">
        <f>IF($C16="","",$K16+$L16)</f>
        <v>2000</v>
      </c>
      <c r="N16" s="16">
        <f>IF($C16="","",ROUND($M16/$D16,2))</f>
        <v>64.52</v>
      </c>
      <c r="O16" s="16">
        <f>IF($C16="","",ROUND($N16/الإعدادات!$C$6,2))</f>
        <v>8.06</v>
      </c>
      <c r="P16" s="16">
        <f>IF($C16="","",ROUND($M16/$D16*$H16,2))</f>
        <v>0.0</v>
      </c>
      <c r="Q16" s="16">
        <f>IF($C16="","",ROUND($M16/$D16/الإعدادات!$C$6*($I16/60)*الإعدادات!$C$7,2))</f>
        <v>0.0</v>
      </c>
      <c r="R16" s="16">
        <f>IF($C16="","",ROUND($M16/$D16/الإعدادات!$C$6*$J16*الإعدادات!$C$8,2))</f>
        <v>0.0</v>
      </c>
      <c r="S16" s="15" t="n">
        <v>0</v>
      </c>
      <c r="T16" s="16">
        <f>IF($C16="","",$P16+$Q16+$S16)</f>
        <v>0.0</v>
      </c>
      <c r="U16" s="17">
        <f>IF($C16="","",$M16+$R16-$T16)</f>
        <v>2000.0</v>
      </c>
      <c r="V16" s="18" t="inlineStr"/>
    </row>
    <row r="17">
      <c r="A17" s="12" t="n">
        <v>14</v>
      </c>
      <c r="B17" s="13" t="inlineStr">
        <is>
          <t>رنر</t>
        </is>
      </c>
      <c r="C17" s="13" t="inlineStr">
        <is>
          <t>ايدا</t>
        </is>
      </c>
      <c r="D17" s="12">
        <f>الإعدادات!$C$5</f>
        <v>31</v>
      </c>
      <c r="E17" s="3" t="n">
        <v>29</v>
      </c>
      <c r="F17" s="14" t="n">
        <v>0</v>
      </c>
      <c r="G17" s="12">
        <f>IF($C17="","",$D17-$E17)</f>
        <v>2</v>
      </c>
      <c r="H17" s="12">
        <f>IF($C17="","",MAX(0,$G17-$F17))</f>
        <v>2</v>
      </c>
      <c r="I17" s="3" t="n">
        <v>0</v>
      </c>
      <c r="J17" s="3" t="n">
        <v>0</v>
      </c>
      <c r="K17" s="15" t="n">
        <v>500</v>
      </c>
      <c r="L17" s="15" t="n">
        <v>1500</v>
      </c>
      <c r="M17" s="16">
        <f>IF($C17="","",$K17+$L17)</f>
        <v>2000</v>
      </c>
      <c r="N17" s="16">
        <f>IF($C17="","",ROUND($M17/$D17,2))</f>
        <v>64.52</v>
      </c>
      <c r="O17" s="16">
        <f>IF($C17="","",ROUND($N17/الإعدادات!$C$6,2))</f>
        <v>8.06</v>
      </c>
      <c r="P17" s="16">
        <f>IF($C17="","",ROUND($M17/$D17*$H17,2))</f>
        <v>129.03</v>
      </c>
      <c r="Q17" s="16">
        <f>IF($C17="","",ROUND($M17/$D17/الإعدادات!$C$6*($I17/60)*الإعدادات!$C$7,2))</f>
        <v>0.0</v>
      </c>
      <c r="R17" s="16">
        <f>IF($C17="","",ROUND($M17/$D17/الإعدادات!$C$6*$J17*الإعدادات!$C$8,2))</f>
        <v>0.0</v>
      </c>
      <c r="S17" s="15" t="n">
        <v>0</v>
      </c>
      <c r="T17" s="16">
        <f>IF($C17="","",$P17+$Q17+$S17)</f>
        <v>129.03</v>
      </c>
      <c r="U17" s="17">
        <f>IF($C17="","",$M17+$R17-$T17)</f>
        <v>1870.97</v>
      </c>
      <c r="V17" s="18" t="inlineStr">
        <is>
          <t>تغيب يومين</t>
        </is>
      </c>
    </row>
    <row r="18">
      <c r="A18" s="12" t="n">
        <v>16</v>
      </c>
      <c r="B18" s="13" t="inlineStr">
        <is>
          <t>طاهي</t>
        </is>
      </c>
      <c r="C18" s="13" t="inlineStr">
        <is>
          <t>مهدي</t>
        </is>
      </c>
      <c r="D18" s="12">
        <f>الإعدادات!$C$5</f>
        <v>31</v>
      </c>
      <c r="E18" s="3" t="n">
        <v>31</v>
      </c>
      <c r="F18" s="14" t="n">
        <v>0</v>
      </c>
      <c r="G18" s="12">
        <f>IF($C18="","",$D18-$E18)</f>
        <v>0</v>
      </c>
      <c r="H18" s="12">
        <f>IF($C18="","",MAX(0,$G18-$F18))</f>
        <v>0</v>
      </c>
      <c r="I18" s="3" t="n">
        <v>0</v>
      </c>
      <c r="J18" s="3" t="n">
        <v>0</v>
      </c>
      <c r="K18" s="15" t="n">
        <v>800</v>
      </c>
      <c r="L18" s="15" t="n">
        <v>1200</v>
      </c>
      <c r="M18" s="16">
        <f>IF($C18="","",$K18+$L18)</f>
        <v>2000</v>
      </c>
      <c r="N18" s="16">
        <f>IF($C18="","",ROUND($M18/$D18,2))</f>
        <v>64.52</v>
      </c>
      <c r="O18" s="16">
        <f>IF($C18="","",ROUND($N18/الإعدادات!$C$6,2))</f>
        <v>8.06</v>
      </c>
      <c r="P18" s="16">
        <f>IF($C18="","",ROUND($M18/$D18*$H18,2))</f>
        <v>0.0</v>
      </c>
      <c r="Q18" s="16">
        <f>IF($C18="","",ROUND($M18/$D18/الإعدادات!$C$6*($I18/60)*الإعدادات!$C$7,2))</f>
        <v>0.0</v>
      </c>
      <c r="R18" s="16">
        <f>IF($C18="","",ROUND($M18/$D18/الإعدادات!$C$6*$J18*الإعدادات!$C$8,2))</f>
        <v>0.0</v>
      </c>
      <c r="S18" s="15" t="n">
        <v>400</v>
      </c>
      <c r="T18" s="16">
        <f>IF($C18="","",$P18+$Q18+$S18)</f>
        <v>400.0</v>
      </c>
      <c r="U18" s="17">
        <f>IF($C18="","",$M18+$R18-$T18)</f>
        <v>1600.0</v>
      </c>
      <c r="V18" s="18" t="inlineStr">
        <is>
          <t>سلفة</t>
        </is>
      </c>
    </row>
    <row r="19">
      <c r="A19" s="12" t="n">
        <v>17</v>
      </c>
      <c r="B19" s="13" t="inlineStr">
        <is>
          <t>ويتر وبارستا</t>
        </is>
      </c>
      <c r="C19" s="13" t="inlineStr">
        <is>
          <t>روكي</t>
        </is>
      </c>
      <c r="D19" s="12">
        <f>الإعدادات!$C$5</f>
        <v>31</v>
      </c>
      <c r="E19" s="3" t="n">
        <v>31</v>
      </c>
      <c r="F19" s="14" t="n">
        <v>0</v>
      </c>
      <c r="G19" s="12">
        <f>IF($C19="","",$D19-$E19)</f>
        <v>0</v>
      </c>
      <c r="H19" s="12">
        <f>IF($C19="","",MAX(0,$G19-$F19))</f>
        <v>0</v>
      </c>
      <c r="I19" s="3" t="n">
        <v>0</v>
      </c>
      <c r="J19" s="3" t="n">
        <v>0</v>
      </c>
      <c r="K19" s="15" t="n">
        <v>800</v>
      </c>
      <c r="L19" s="15" t="n">
        <v>900</v>
      </c>
      <c r="M19" s="16">
        <f>IF($C19="","",$K19+$L19)</f>
        <v>1700</v>
      </c>
      <c r="N19" s="16">
        <f>IF($C19="","",ROUND($M19/$D19,2))</f>
        <v>54.84</v>
      </c>
      <c r="O19" s="16">
        <f>IF($C19="","",ROUND($N19/الإعدادات!$C$6,2))</f>
        <v>6.86</v>
      </c>
      <c r="P19" s="16">
        <f>IF($C19="","",ROUND($M19/$D19*$H19,2))</f>
        <v>0.0</v>
      </c>
      <c r="Q19" s="16">
        <f>IF($C19="","",ROUND($M19/$D19/الإعدادات!$C$6*($I19/60)*الإعدادات!$C$7,2))</f>
        <v>0.0</v>
      </c>
      <c r="R19" s="16">
        <f>IF($C19="","",ROUND($M19/$D19/الإعدادات!$C$6*$J19*الإعدادات!$C$8,2))</f>
        <v>0.0</v>
      </c>
      <c r="S19" s="15" t="n">
        <v>400</v>
      </c>
      <c r="T19" s="16">
        <f>IF($C19="","",$P19+$Q19+$S19)</f>
        <v>400.0</v>
      </c>
      <c r="U19" s="17">
        <f>IF($C19="","",$M19+$R19-$T19)</f>
        <v>1300.0</v>
      </c>
      <c r="V19" s="18" t="inlineStr">
        <is>
          <t>سلفة</t>
        </is>
      </c>
    </row>
    <row r="20">
      <c r="A20" s="12" t="n">
        <v>18</v>
      </c>
      <c r="B20" s="13" t="inlineStr">
        <is>
          <t>سواق</t>
        </is>
      </c>
      <c r="C20" s="13" t="inlineStr">
        <is>
          <t>مقصود</t>
        </is>
      </c>
      <c r="D20" s="12">
        <f>الإعدادات!$C$5</f>
        <v>31</v>
      </c>
      <c r="E20" s="3" t="n">
        <v>31</v>
      </c>
      <c r="F20" s="14" t="n">
        <v>0</v>
      </c>
      <c r="G20" s="12">
        <f>IF($C20="","",$D20-$E20)</f>
        <v>0</v>
      </c>
      <c r="H20" s="12">
        <f>IF($C20="","",MAX(0,$G20-$F20))</f>
        <v>0</v>
      </c>
      <c r="I20" s="3" t="n">
        <v>0</v>
      </c>
      <c r="J20" s="3" t="n">
        <v>0</v>
      </c>
      <c r="K20" s="15" t="n">
        <v>500</v>
      </c>
      <c r="L20" s="15" t="n">
        <v>1500</v>
      </c>
      <c r="M20" s="16">
        <f>IF($C20="","",$K20+$L20)</f>
        <v>2000</v>
      </c>
      <c r="N20" s="16">
        <f>IF($C20="","",ROUND($M20/$D20,2))</f>
        <v>64.52</v>
      </c>
      <c r="O20" s="16">
        <f>IF($C20="","",ROUND($N20/الإعدادات!$C$6,2))</f>
        <v>8.06</v>
      </c>
      <c r="P20" s="16">
        <f>IF($C20="","",ROUND($M20/$D20*$H20,2))</f>
        <v>0.0</v>
      </c>
      <c r="Q20" s="16">
        <f>IF($C20="","",ROUND($M20/$D20/الإعدادات!$C$6*($I20/60)*الإعدادات!$C$7,2))</f>
        <v>0.0</v>
      </c>
      <c r="R20" s="16">
        <f>IF($C20="","",ROUND($M20/$D20/الإعدادات!$C$6*$J20*الإعدادات!$C$8,2))</f>
        <v>0.0</v>
      </c>
      <c r="S20" s="15" t="n">
        <v>200</v>
      </c>
      <c r="T20" s="16">
        <f>IF($C20="","",$P20+$Q20+$S20)</f>
        <v>200.0</v>
      </c>
      <c r="U20" s="17">
        <f>IF($C20="","",$M20+$R20-$T20)</f>
        <v>1800.0</v>
      </c>
      <c r="V20" s="18" t="inlineStr">
        <is>
          <t>سلفة</t>
        </is>
      </c>
    </row>
    <row r="21">
      <c r="A21" s="12" t="n">
        <v>19</v>
      </c>
      <c r="B21" s="13" t="inlineStr">
        <is>
          <t>معسل</t>
        </is>
      </c>
      <c r="C21" s="13" t="inlineStr">
        <is>
          <t>سيف</t>
        </is>
      </c>
      <c r="D21" s="12">
        <f>الإعدادات!$C$5</f>
        <v>31</v>
      </c>
      <c r="E21" s="3" t="n">
        <v>31</v>
      </c>
      <c r="F21" s="14" t="n">
        <v>0</v>
      </c>
      <c r="G21" s="12">
        <f>IF($C21="","",$D21-$E21)</f>
        <v>0</v>
      </c>
      <c r="H21" s="12">
        <f>IF($C21="","",MAX(0,$G21-$F21))</f>
        <v>0</v>
      </c>
      <c r="I21" s="3" t="n">
        <v>50</v>
      </c>
      <c r="J21" s="3" t="n">
        <v>0</v>
      </c>
      <c r="K21" s="15" t="n">
        <v>800</v>
      </c>
      <c r="L21" s="15" t="n">
        <v>1450</v>
      </c>
      <c r="M21" s="16">
        <f>IF($C21="","",$K21+$L21)</f>
        <v>2250</v>
      </c>
      <c r="N21" s="16">
        <f>IF($C21="","",ROUND($M21/$D21,2))</f>
        <v>72.58</v>
      </c>
      <c r="O21" s="16">
        <f>IF($C21="","",ROUND($N21/الإعدادات!$C$6,2))</f>
        <v>9.07</v>
      </c>
      <c r="P21" s="16">
        <f>IF($C21="","",ROUND($M21/$D21*$H21,2))</f>
        <v>0.0</v>
      </c>
      <c r="Q21" s="16">
        <f>IF($C21="","",ROUND($M21/$D21/الإعدادات!$C$6*($I21/60)*الإعدادات!$C$7,2))</f>
        <v>15.12</v>
      </c>
      <c r="R21" s="16">
        <f>IF($C21="","",ROUND($M21/$D21/الإعدادات!$C$6*$J21*الإعدادات!$C$8,2))</f>
        <v>0.0</v>
      </c>
      <c r="S21" s="15" t="n">
        <v>300</v>
      </c>
      <c r="T21" s="16">
        <f>IF($C21="","",$P21+$Q21+$S21)</f>
        <v>315.12</v>
      </c>
      <c r="U21" s="17">
        <f>IF($C21="","",$M21+$R21-$T21)</f>
        <v>1934.88</v>
      </c>
      <c r="V21" s="18" t="inlineStr">
        <is>
          <t>سلفة 300 + تأخير 50 دقيقة</t>
        </is>
      </c>
    </row>
    <row r="22">
      <c r="A22" s="12" t="n">
        <v>20</v>
      </c>
      <c r="B22" s="13" t="inlineStr">
        <is>
          <t>-</t>
        </is>
      </c>
      <c r="C22" s="13" t="inlineStr">
        <is>
          <t>ناجمل</t>
        </is>
      </c>
      <c r="D22" s="12">
        <f>الإعدادات!$C$5</f>
        <v>31</v>
      </c>
      <c r="E22" s="3" t="n">
        <v>31</v>
      </c>
      <c r="F22" s="14" t="n">
        <v>0</v>
      </c>
      <c r="G22" s="12">
        <f>IF($C22="","",$D22-$E22)</f>
        <v>0</v>
      </c>
      <c r="H22" s="12">
        <f>IF($C22="","",MAX(0,$G22-$F22))</f>
        <v>0</v>
      </c>
      <c r="I22" s="3" t="n">
        <v>0</v>
      </c>
      <c r="J22" s="3" t="n">
        <v>0</v>
      </c>
      <c r="K22" s="15" t="n">
        <v>1000</v>
      </c>
      <c r="L22" s="15" t="n">
        <v>700</v>
      </c>
      <c r="M22" s="16">
        <f>IF($C22="","",$K22+$L22)</f>
        <v>1700</v>
      </c>
      <c r="N22" s="16">
        <f>IF($C22="","",ROUND($M22/$D22,2))</f>
        <v>54.84</v>
      </c>
      <c r="O22" s="16">
        <f>IF($C22="","",ROUND($N22/الإعدادات!$C$6,2))</f>
        <v>6.86</v>
      </c>
      <c r="P22" s="16">
        <f>IF($C22="","",ROUND($M22/$D22*$H22,2))</f>
        <v>0.0</v>
      </c>
      <c r="Q22" s="16">
        <f>IF($C22="","",ROUND($M22/$D22/الإعدادات!$C$6*($I22/60)*الإعدادات!$C$7,2))</f>
        <v>0.0</v>
      </c>
      <c r="R22" s="16">
        <f>IF($C22="","",ROUND($M22/$D22/الإعدادات!$C$6*$J22*الإعدادات!$C$8,2))</f>
        <v>0.0</v>
      </c>
      <c r="S22" s="15" t="n">
        <v>440</v>
      </c>
      <c r="T22" s="16">
        <f>IF($C22="","",$P22+$Q22+$S22)</f>
        <v>440.0</v>
      </c>
      <c r="U22" s="17">
        <f>IF($C22="","",$M22+$R22-$T22)</f>
        <v>1260.0</v>
      </c>
      <c r="V22" s="18" t="inlineStr">
        <is>
          <t>خصم تاكسي + سلفة</t>
        </is>
      </c>
    </row>
    <row r="23">
      <c r="A23" s="12" t="inlineStr"/>
      <c r="B23" s="19" t="inlineStr"/>
      <c r="C23" s="19" t="inlineStr"/>
      <c r="D23" s="12">
        <f>الإعدادات!$C$5</f>
        <v>31</v>
      </c>
      <c r="E23" s="3" t="inlineStr"/>
      <c r="F23" s="14" t="inlineStr"/>
      <c r="G23" s="12" t="str">
        <f>IF($C23="","",$D23-$E23)</f>
        <v/>
      </c>
      <c r="H23" s="12" t="str">
        <f>IF($C23="","",MAX(0,$G23-$F23))</f>
        <v/>
      </c>
      <c r="I23" s="3" t="inlineStr"/>
      <c r="J23" s="3" t="inlineStr"/>
      <c r="K23" s="15" t="inlineStr"/>
      <c r="L23" s="15" t="inlineStr"/>
      <c r="M23" s="16" t="str">
        <f>IF($C23="","",$K23+$L23)</f>
        <v/>
      </c>
      <c r="N23" s="16" t="str">
        <f>IF($C23="","",ROUND($M23/$D23,2))</f>
        <v/>
      </c>
      <c r="O23" s="16" t="str">
        <f>IF($C23="","",ROUND($N23/الإعدادات!$C$6,2))</f>
        <v/>
      </c>
      <c r="P23" s="16" t="str">
        <f>IF($C23="","",ROUND($M23/$D23*$H23,2))</f>
        <v/>
      </c>
      <c r="Q23" s="16" t="str">
        <f>IF($C23="","",ROUND($M23/$D23/الإعدادات!$C$6*($I23/60)*الإعدادات!$C$7,2))</f>
        <v/>
      </c>
      <c r="R23" s="16" t="str">
        <f>IF($C23="","",ROUND($M23/$D23/الإعدادات!$C$6*$J23*الإعدادات!$C$8,2))</f>
        <v/>
      </c>
      <c r="S23" s="15" t="inlineStr"/>
      <c r="T23" s="16" t="str">
        <f>IF($C23="","",$P23+$Q23+$S23)</f>
        <v/>
      </c>
      <c r="U23" s="17" t="str">
        <f>IF($C23="","",$M23+$R23-$T23)</f>
        <v/>
      </c>
      <c r="V23" s="20" t="inlineStr"/>
    </row>
    <row r="24">
      <c r="A24" s="12" t="inlineStr"/>
      <c r="B24" s="19" t="inlineStr"/>
      <c r="C24" s="19" t="inlineStr"/>
      <c r="D24" s="12">
        <f>الإعدادات!$C$5</f>
        <v>31</v>
      </c>
      <c r="E24" s="3" t="inlineStr"/>
      <c r="F24" s="14" t="inlineStr"/>
      <c r="G24" s="12" t="str">
        <f>IF($C24="","",$D24-$E24)</f>
        <v/>
      </c>
      <c r="H24" s="12" t="str">
        <f>IF($C24="","",MAX(0,$G24-$F24))</f>
        <v/>
      </c>
      <c r="I24" s="3" t="inlineStr"/>
      <c r="J24" s="3" t="inlineStr"/>
      <c r="K24" s="15" t="inlineStr"/>
      <c r="L24" s="15" t="inlineStr"/>
      <c r="M24" s="16" t="str">
        <f>IF($C24="","",$K24+$L24)</f>
        <v/>
      </c>
      <c r="N24" s="16" t="str">
        <f>IF($C24="","",ROUND($M24/$D24,2))</f>
        <v/>
      </c>
      <c r="O24" s="16" t="str">
        <f>IF($C24="","",ROUND($N24/الإعدادات!$C$6,2))</f>
        <v/>
      </c>
      <c r="P24" s="16" t="str">
        <f>IF($C24="","",ROUND($M24/$D24*$H24,2))</f>
        <v/>
      </c>
      <c r="Q24" s="16" t="str">
        <f>IF($C24="","",ROUND($M24/$D24/الإعدادات!$C$6*($I24/60)*الإعدادات!$C$7,2))</f>
        <v/>
      </c>
      <c r="R24" s="16" t="str">
        <f>IF($C24="","",ROUND($M24/$D24/الإعدادات!$C$6*$J24*الإعدادات!$C$8,2))</f>
        <v/>
      </c>
      <c r="S24" s="15" t="inlineStr"/>
      <c r="T24" s="16" t="str">
        <f>IF($C24="","",$P24+$Q24+$S24)</f>
        <v/>
      </c>
      <c r="U24" s="17" t="str">
        <f>IF($C24="","",$M24+$R24-$T24)</f>
        <v/>
      </c>
      <c r="V24" s="20" t="inlineStr"/>
    </row>
    <row r="25">
      <c r="A25" s="12" t="inlineStr"/>
      <c r="B25" s="19" t="inlineStr"/>
      <c r="C25" s="19" t="inlineStr"/>
      <c r="D25" s="12">
        <f>الإعدادات!$C$5</f>
        <v>31</v>
      </c>
      <c r="E25" s="3" t="inlineStr"/>
      <c r="F25" s="14" t="inlineStr"/>
      <c r="G25" s="12" t="str">
        <f>IF($C25="","",$D25-$E25)</f>
        <v/>
      </c>
      <c r="H25" s="12" t="str">
        <f>IF($C25="","",MAX(0,$G25-$F25))</f>
        <v/>
      </c>
      <c r="I25" s="3" t="inlineStr"/>
      <c r="J25" s="3" t="inlineStr"/>
      <c r="K25" s="15" t="inlineStr"/>
      <c r="L25" s="15" t="inlineStr"/>
      <c r="M25" s="16" t="str">
        <f>IF($C25="","",$K25+$L25)</f>
        <v/>
      </c>
      <c r="N25" s="16" t="str">
        <f>IF($C25="","",ROUND($M25/$D25,2))</f>
        <v/>
      </c>
      <c r="O25" s="16" t="str">
        <f>IF($C25="","",ROUND($N25/الإعدادات!$C$6,2))</f>
        <v/>
      </c>
      <c r="P25" s="16" t="str">
        <f>IF($C25="","",ROUND($M25/$D25*$H25,2))</f>
        <v/>
      </c>
      <c r="Q25" s="16" t="str">
        <f>IF($C25="","",ROUND($M25/$D25/الإعدادات!$C$6*($I25/60)*الإعدادات!$C$7,2))</f>
        <v/>
      </c>
      <c r="R25" s="16" t="str">
        <f>IF($C25="","",ROUND($M25/$D25/الإعدادات!$C$6*$J25*الإعدادات!$C$8,2))</f>
        <v/>
      </c>
      <c r="S25" s="15" t="inlineStr"/>
      <c r="T25" s="16" t="str">
        <f>IF($C25="","",$P25+$Q25+$S25)</f>
        <v/>
      </c>
      <c r="U25" s="17" t="str">
        <f>IF($C25="","",$M25+$R25-$T25)</f>
        <v/>
      </c>
      <c r="V25" s="20" t="inlineStr"/>
    </row>
    <row r="26">
      <c r="A26" s="12" t="inlineStr"/>
      <c r="B26" s="19" t="inlineStr"/>
      <c r="C26" s="19" t="inlineStr"/>
      <c r="D26" s="12">
        <f>الإعدادات!$C$5</f>
        <v>31</v>
      </c>
      <c r="E26" s="3" t="inlineStr"/>
      <c r="F26" s="14" t="inlineStr"/>
      <c r="G26" s="12" t="str">
        <f>IF($C26="","",$D26-$E26)</f>
        <v/>
      </c>
      <c r="H26" s="12" t="str">
        <f>IF($C26="","",MAX(0,$G26-$F26))</f>
        <v/>
      </c>
      <c r="I26" s="3" t="inlineStr"/>
      <c r="J26" s="3" t="inlineStr"/>
      <c r="K26" s="15" t="inlineStr"/>
      <c r="L26" s="15" t="inlineStr"/>
      <c r="M26" s="16" t="str">
        <f>IF($C26="","",$K26+$L26)</f>
        <v/>
      </c>
      <c r="N26" s="16" t="str">
        <f>IF($C26="","",ROUND($M26/$D26,2))</f>
        <v/>
      </c>
      <c r="O26" s="16" t="str">
        <f>IF($C26="","",ROUND($N26/الإعدادات!$C$6,2))</f>
        <v/>
      </c>
      <c r="P26" s="16" t="str">
        <f>IF($C26="","",ROUND($M26/$D26*$H26,2))</f>
        <v/>
      </c>
      <c r="Q26" s="16" t="str">
        <f>IF($C26="","",ROUND($M26/$D26/الإعدادات!$C$6*($I26/60)*الإعدادات!$C$7,2))</f>
        <v/>
      </c>
      <c r="R26" s="16" t="str">
        <f>IF($C26="","",ROUND($M26/$D26/الإعدادات!$C$6*$J26*الإعدادات!$C$8,2))</f>
        <v/>
      </c>
      <c r="S26" s="15" t="inlineStr"/>
      <c r="T26" s="16" t="str">
        <f>IF($C26="","",$P26+$Q26+$S26)</f>
        <v/>
      </c>
      <c r="U26" s="17" t="str">
        <f>IF($C26="","",$M26+$R26-$T26)</f>
        <v/>
      </c>
      <c r="V26" s="20" t="inlineStr"/>
    </row>
    <row r="27">
      <c r="A27" s="12" t="inlineStr"/>
      <c r="B27" s="19" t="inlineStr"/>
      <c r="C27" s="19" t="inlineStr"/>
      <c r="D27" s="12">
        <f>الإعدادات!$C$5</f>
        <v>31</v>
      </c>
      <c r="E27" s="3" t="inlineStr"/>
      <c r="F27" s="14" t="inlineStr"/>
      <c r="G27" s="12" t="str">
        <f>IF($C27="","",$D27-$E27)</f>
        <v/>
      </c>
      <c r="H27" s="12" t="str">
        <f>IF($C27="","",MAX(0,$G27-$F27))</f>
        <v/>
      </c>
      <c r="I27" s="3" t="inlineStr"/>
      <c r="J27" s="3" t="inlineStr"/>
      <c r="K27" s="15" t="inlineStr"/>
      <c r="L27" s="15" t="inlineStr"/>
      <c r="M27" s="16" t="str">
        <f>IF($C27="","",$K27+$L27)</f>
        <v/>
      </c>
      <c r="N27" s="16" t="str">
        <f>IF($C27="","",ROUND($M27/$D27,2))</f>
        <v/>
      </c>
      <c r="O27" s="16" t="str">
        <f>IF($C27="","",ROUND($N27/الإعدادات!$C$6,2))</f>
        <v/>
      </c>
      <c r="P27" s="16" t="str">
        <f>IF($C27="","",ROUND($M27/$D27*$H27,2))</f>
        <v/>
      </c>
      <c r="Q27" s="16" t="str">
        <f>IF($C27="","",ROUND($M27/$D27/الإعدادات!$C$6*($I27/60)*الإعدادات!$C$7,2))</f>
        <v/>
      </c>
      <c r="R27" s="16" t="str">
        <f>IF($C27="","",ROUND($M27/$D27/الإعدادات!$C$6*$J27*الإعدادات!$C$8,2))</f>
        <v/>
      </c>
      <c r="S27" s="15" t="inlineStr"/>
      <c r="T27" s="16" t="str">
        <f>IF($C27="","",$P27+$Q27+$S27)</f>
        <v/>
      </c>
      <c r="U27" s="17" t="str">
        <f>IF($C27="","",$M27+$R27-$T27)</f>
        <v/>
      </c>
      <c r="V27" s="20" t="inlineStr"/>
    </row>
    <row r="28" ht="26" customHeight="1">
      <c r="A28" s="21" t="inlineStr">
        <is>
          <t>الإجـــمـــالـــي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2">
        <f>ROUND(SUM(K5:K27),2)</f>
        <v>14800.0</v>
      </c>
      <c r="L28" s="22">
        <f>ROUND(SUM(L5:L27),2)</f>
        <v>20000.0</v>
      </c>
      <c r="M28" s="22">
        <f>ROUND(SUM(M5:M27),2)</f>
        <v>34800.0</v>
      </c>
      <c r="N28" s="22" t="n"/>
      <c r="O28" s="22" t="n"/>
      <c r="P28" s="22">
        <f>ROUND(SUM(P5:P27),2)</f>
        <v>1016.13</v>
      </c>
      <c r="Q28" s="22">
        <f>ROUND(SUM(Q5:Q27),2)</f>
        <v>42.34</v>
      </c>
      <c r="R28" s="22">
        <f>ROUND(SUM(R5:R27),2)</f>
        <v>0.0</v>
      </c>
      <c r="S28" s="22">
        <f>ROUND(SUM(S5:S27),2)</f>
        <v>3254.0</v>
      </c>
      <c r="T28" s="22">
        <f>ROUND(SUM(T5:T27),2)</f>
        <v>4312.47</v>
      </c>
      <c r="U28" s="22">
        <f>ROUND(SUM(U5:U27),2)</f>
        <v>30487.53</v>
      </c>
      <c r="V28" s="21" t="n"/>
    </row>
    <row r="30">
      <c r="A30" s="23" t="inlineStr">
        <is>
          <t>• أيام الإجازة الشهرية المستحقة إجازة مدفوعة — تُطرح من أيام التغيب قبل احتساب الخصم، فلا يُخصم عنها شيء.</t>
        </is>
      </c>
    </row>
    <row r="31">
      <c r="A31" s="24" t="inlineStr">
        <is>
          <t>• اكتب في الخلايا الملوّنة فقط: أيام العمل، أيام الإجازة الشهرية (أخضر)، دقائق التأخير، الساعات الإضافية، الراتب الأساسي، المستحقات، السلف، الملاحظات.</t>
        </is>
      </c>
    </row>
    <row r="32">
      <c r="A32" s="24" t="inlineStr">
        <is>
          <t>• لبدء شهر جديد: غيّر الشهر وعدد أيام الشهر في ورقة (الإعدادات)، ثم حدّث أيام العمل والسلف — والباقي يُحسب تلقائياً.</t>
        </is>
      </c>
    </row>
    <row r="33">
      <c r="A33" s="24" t="inlineStr">
        <is>
          <t>• إذا تغيّب الموظف أقل من رصيد إجازته لا يظهر أي خصم، ولا يُرحَّل الرصيد المتبقي للشهر التالي.</t>
        </is>
      </c>
    </row>
    <row r="34">
      <c r="A34" s="24" t="inlineStr">
        <is>
          <t>• لإضافة موظف جديد استخدم الصفوف الفارغة الجاهزة في نهاية الكشف (المعادلات مُعدّة مسبقاً).</t>
        </is>
      </c>
    </row>
  </sheetData>
  <mergeCells count="8">
    <mergeCell ref="A2:V2"/>
    <mergeCell ref="A33:V33"/>
    <mergeCell ref="A1:V1"/>
    <mergeCell ref="A32:V32"/>
    <mergeCell ref="A31:V31"/>
    <mergeCell ref="A30:V30"/>
    <mergeCell ref="A34:V34"/>
    <mergeCell ref="A28:J28"/>
  </mergeCells>
  <dataValidations count="2">
    <dataValidation sqref="E5:E27" showDropDown="0" showInputMessage="0" showErrorMessage="1" allowBlank="1" errorTitle="قيمة غير صحيحة" error="أيام العمل يجب أن تكون بين 0 وعدد أيام الشهر." type="whole" operator="between">
      <formula1>0</formula1>
      <formula2>31</formula2>
    </dataValidation>
    <dataValidation sqref="F5:F27" showDropDown="0" showInputMessage="0" showErrorMessage="1" allowBlank="1" errorTitle="قيمة غير صحيحة" error="أيام الإجازة الشهرية عادةً بين 0 و 4 أيام." type="whole" operator="between">
      <formula1>0</formula1>
      <formula2>10</formula2>
    </dataValidation>
  </dataValidation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2026-09-10T00:31:38Z</dcterms:created>
  <dcterms:modified xsi:type="dcterms:W3CDTF">2026-09-10T00:31:38Z</dcterms:modified>
</cp:coreProperties>
</file>